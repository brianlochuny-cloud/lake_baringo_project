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<sst xmlns="http://schemas.openxmlformats.org/spreadsheetml/2006/main" count="22" uniqueCount="19">
  <si>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YEAR</t>
  </si>
  <si>
    <t>LAKE_AREA_KM2</t>
  </si>
  <si>
    <t>DATE</t>
  </si>
  <si>
    <t>SATELLITE AND SENSOR</t>
  </si>
  <si>
    <t>CHANGE_KM2</t>
  </si>
  <si>
    <t>CHANGE_PERCENT</t>
  </si>
  <si>
    <t>YEARS</t>
  </si>
  <si>
    <t>RATE_KM2_PER_YEAR</t>
  </si>
  <si>
    <t>Landsat 7 ETM+</t>
  </si>
  <si>
    <t>3 Mar 2007 (main) + 22 May 2007 (gap-fill)</t>
  </si>
  <si>
    <t>13 Feb 2012 (main) + 28 Jan 2012 (gap-fill)</t>
  </si>
  <si>
    <t>Landsat 8 OLI</t>
  </si>
  <si>
    <t>Landsat 9 OLI-2</t>
  </si>
  <si>
    <t>2027 recent-rate estimate</t>
  </si>
  <si>
    <t>2027 linear-trend estimate (upper bound)</t>
  </si>
  <si>
    <t>2032 low scenario</t>
  </si>
  <si>
    <t>2032 central scenario</t>
  </si>
  <si>
    <t>2032 high scenario</t>
  </si>
  <si>
    <t>2026 overall accuracy 99%, kappa 0.98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</si>
</sst>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Lake Baringo Surface Area, 2002–2026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849358570714"/>
          <c:y val="0.0792562500678763"/>
          <c:w val="0.888210526315789"/>
          <c:h val="0.731805555555556"/>
        </c:manualLayout>
      </c:layou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LAKE_AREA_KM2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numRef>
              <c:f>Sheet1!$A$2:$A$7</c:f>
              <c:numCache>
                <c:formatCode>General</c:formatCode>
                <c:ptCount val="6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  <c:pt idx="5">
                  <c:v>2026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120.36</c:v>
                </c:pt>
                <c:pt idx="1">
                  <c:v>116.99</c:v>
                </c:pt>
                <c:pt idx="2">
                  <c:v>137.65</c:v>
                </c:pt>
                <c:pt idx="3">
                  <c:v>188.5</c:v>
                </c:pt>
                <c:pt idx="4">
                  <c:v>221.19</c:v>
                </c:pt>
                <c:pt idx="5">
                  <c:v>227.64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743542010"/>
        <c:axId val="517112353"/>
      </c:lineChart>
      <c:catAx>
        <c:axId val="7435420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112353"/>
        <c:crosses val="autoZero"/>
        <c:auto val="1"/>
        <c:lblAlgn val="ctr"/>
        <c:lblOffset val="100"/>
        <c:noMultiLvlLbl val="0"/>
      </c:catAx>
      <c:valAx>
        <c:axId val="5171123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Lake area (km²)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35420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047c061-9edc-4595-8190-ea604930e8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1047750</xdr:colOff>
      <xdr:row>22</xdr:row>
      <xdr:rowOff>163195</xdr:rowOff>
    </xdr:from>
    <xdr:to>
      <xdr:col>8</xdr:col>
      <xdr:colOff>116205</xdr:colOff>
      <xdr:row>47</xdr:row>
      <xdr:rowOff>122555</xdr:rowOff>
    </xdr:to>
    <xdr:graphicFrame>
      <xdr:nvGraphicFramePr>
        <xdr:cNvPr id="2" name="Chart 1"/>
        <xdr:cNvGraphicFramePr/>
      </xdr:nvGraphicFramePr>
      <xdr:xfrm>
        <a:off x="4857115" y="4214495"/>
        <a:ext cx="9819005" cy="4563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77" zoomScaleNormal="77" workbookViewId="0">
      <selection activeCell="B19" sqref="B19"/>
    </sheetView>
  </sheetViews>
  <sheetFormatPr defaultColWidth="8.72727272727273" defaultRowHeight="14.5" outlineLevelCol="7"/>
  <cols>
    <col min="1" max="1" width="54.5363636363636" customWidth="1"/>
    <col min="2" max="2" width="17" customWidth="1"/>
    <col min="3" max="3" width="38" customWidth="1"/>
    <col min="4" max="4" width="34.5454545454545" customWidth="1"/>
    <col min="5" max="5" width="14.6363636363636" customWidth="1"/>
    <col min="6" max="6" width="16.8181818181818" customWidth="1"/>
    <col min="7" max="7" width="12.1818181818182" customWidth="1"/>
    <col min="8" max="8" width="20.7272727272727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2002</v>
      </c>
      <c r="B2">
        <v>120.36</v>
      </c>
      <c r="C2" s="1">
        <v>37288</v>
      </c>
      <c r="D2" s="2" t="s">
        <v>8</v>
      </c>
      <c r="E2" s="2"/>
    </row>
    <row r="3" spans="1:8">
      <c r="A3">
        <v>2007</v>
      </c>
      <c r="B3">
        <v>116.99</v>
      </c>
      <c r="C3" t="s">
        <v>9</v>
      </c>
      <c r="D3" t="s">
        <v>8</v>
      </c>
      <c r="E3" s="3">
        <f>B3-B2</f>
        <v>-3.37</v>
      </c>
      <c r="F3" s="4">
        <f>(B3-B2)/B2*100</f>
        <v>-2.79993353273513</v>
      </c>
      <c r="G3" s="3">
        <f>A3-A2</f>
        <v>5</v>
      </c>
      <c r="H3" s="4">
        <f>E3/G3</f>
        <v>-0.674000000000001</v>
      </c>
    </row>
    <row r="4" spans="1:8">
      <c r="A4">
        <v>2012</v>
      </c>
      <c r="B4">
        <v>137.65</v>
      </c>
      <c r="C4" t="s">
        <v>10</v>
      </c>
      <c r="D4" t="s">
        <v>8</v>
      </c>
      <c r="E4" s="3">
        <f>B4-B3</f>
        <v>20.66</v>
      </c>
      <c r="F4" s="4">
        <f>(B4-B3)/B3*100</f>
        <v>17.6596290281221</v>
      </c>
      <c r="G4" s="3">
        <f>A4-A3</f>
        <v>5</v>
      </c>
      <c r="H4" s="4">
        <f>E4/G4</f>
        <v>4.132</v>
      </c>
    </row>
    <row r="5" spans="1:8">
      <c r="A5">
        <v>2017</v>
      </c>
      <c r="B5">
        <v>188.5</v>
      </c>
      <c r="C5" s="1">
        <v>42784</v>
      </c>
      <c r="D5" t="s">
        <v>11</v>
      </c>
      <c r="E5" s="3">
        <f>B5-B4</f>
        <v>50.85</v>
      </c>
      <c r="F5" s="4">
        <f>(B5-B4)/B4*100</f>
        <v>36.9415183436251</v>
      </c>
      <c r="G5" s="3">
        <f>A5-A4</f>
        <v>5</v>
      </c>
      <c r="H5" s="4">
        <f>E5/G5</f>
        <v>10.17</v>
      </c>
    </row>
    <row r="6" spans="1:8">
      <c r="A6">
        <v>2022</v>
      </c>
      <c r="B6">
        <v>221.19</v>
      </c>
      <c r="C6" s="1">
        <v>44608</v>
      </c>
      <c r="D6" t="s">
        <v>11</v>
      </c>
      <c r="E6" s="3">
        <f>B6-B5</f>
        <v>32.69</v>
      </c>
      <c r="F6" s="4">
        <f>(B6-B5)/B5*100</f>
        <v>17.342175066313</v>
      </c>
      <c r="G6" s="3">
        <f>A6-A5</f>
        <v>5</v>
      </c>
      <c r="H6" s="4">
        <f>E6/G6</f>
        <v>6.538</v>
      </c>
    </row>
    <row r="7" spans="1:8">
      <c r="A7">
        <v>2026</v>
      </c>
      <c r="B7">
        <v>227.64</v>
      </c>
      <c r="C7" s="1">
        <v>46072</v>
      </c>
      <c r="D7" t="s">
        <v>12</v>
      </c>
      <c r="E7" s="3">
        <f>B7-B6</f>
        <v>6.44999999999999</v>
      </c>
      <c r="F7" s="4">
        <f>(B7-B6)/B6*100</f>
        <v>2.91604502916045</v>
      </c>
      <c r="G7" s="3">
        <f>A7-A6</f>
        <v>4</v>
      </c>
      <c r="H7" s="4">
        <f>E7/G7</f>
        <v>1.6125</v>
      </c>
    </row>
    <row r="10" spans="1:8">
      <c r="A10" t="s">
        <v>13</v>
      </c>
      <c r="B10" s="4">
        <f>B7+H7</f>
        <v>229.2525</v>
      </c>
    </row>
    <row r="11" spans="1:8">
      <c r="A11" t="s">
        <v>14</v>
      </c>
      <c r="B11" s="4" cm="1">
        <f t="array" ref="B11">FORECAST(2027,B2:B7,A2:A7)</f>
        <v>235.85622580645</v>
      </c>
    </row>
    <row r="13" spans="1:8">
      <c r="A13" t="s">
        <v>15</v>
      </c>
      <c r="B13" s="4">
        <f>B7</f>
        <v>227.64</v>
      </c>
    </row>
    <row r="14" spans="1:8">
      <c r="A14" t="s">
        <v>16</v>
      </c>
      <c r="B14" s="4">
        <f>B7+H7*6</f>
        <v>237.315</v>
      </c>
    </row>
    <row r="15" spans="1:8">
      <c r="A15" t="s">
        <v>17</v>
      </c>
      <c r="B15" s="4" cm="1">
        <f t="array" ref="B15">FORECAST(2032,B2:B7,A2:A7)</f>
        <v>262.356709677419</v>
      </c>
    </row>
    <row r="17" spans="1:1">
      <c r="A17" t="s">
        <v>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Lochuny</cp:lastModifiedBy>
  <dcterms:created xsi:type="dcterms:W3CDTF">2026-09-28T12:48:00Z</dcterms:created>
  <dcterms:modified xsi:type="dcterms:W3CDTF">2026-10-27T10:10:28Z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D50E5A69A1B845249B84E4BA1508E5FF_11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